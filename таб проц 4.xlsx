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<sst xmlns="http://schemas.openxmlformats.org/spreadsheetml/2006/main" xmlns:a="http://schemas.openxmlformats.org/drawingml/2006/main" xmlns:a15="http://schemas.microsoft.com/office/drawing/2012/main" xmlns:asvg="http://schemas.microsoft.com/office/drawing/2016/SVG/main" xmlns:c="http://schemas.openxmlformats.org/drawingml/2006/chart" xmlns:co="http://ncloudtech.com" xmlns:co-ooxml="http://ncloudtech.com/ooxml" xmlns:m="http://schemas.openxmlformats.org/officeDocument/2006/math" xmlns:mc="http://schemas.openxmlformats.org/markup-compatibility/2006" xmlns:o="urn:schemas-microsoft-com:office:office" xmlns:p="http://schemas.openxmlformats.org/presentationml/2006/main" xmlns:pic="http://schemas.openxmlformats.org/drawingml/2006/picture" xmlns:r="http://schemas.openxmlformats.org/officeDocument/2006/relationships" xmlns:s="http://schemas.openxmlformats.org/officeDocument/2006/sharedTypes" xmlns:sl="http://schemas.openxmlformats.org/schemaLibrary/2006/main" xmlns:v="urn:schemas-microsoft-com:vml" xmlns:w="http://schemas.openxmlformats.org/wordprocessingml/2006/main" xmlns:w10="urn:schemas-microsoft-com:office:word" xmlns:w14="http://schemas.microsoft.com/office/word/2010/wordml" xmlns:w15="http://schemas.microsoft.com/office/word/2012/wordml" xmlns:wp="http://schemas.openxmlformats.org/drawingml/2006/wordprocessingDrawing" xmlns:wpg="http://schemas.microsoft.com/office/word/2010/wordprocessingGroup" xmlns:wps="http://schemas.microsoft.com/office/word/2010/wordprocessingShape" xmlns:x="urn:schemas-microsoft-com:office:excel" xmlns:x12ac="http://schemas.microsoft.com/office/spreadsheetml/2011/1/ac" xmlns:x14="http://schemas.microsoft.com/office/spreadsheetml/2009/9/main" xmlns:xdr="http://schemas.openxmlformats.org/drawingml/2006/spreadsheetDrawing" xmlns:xm="http://schemas.microsoft.com/office/excel/2006/main" mc:Ignorable="co co-ooxml w14 x14 w15">
  <si>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</si>
  <si>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</si>
  <si>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</si>
  <si>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</si>
  <si>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r>
      <rPr>
        <rFont val="XO Thames"/>
        <b val="true"/>
        <sz val="12"/>
      </rPr>
      <t>Статическая функция</t>
    </r>
  </si>
  <si>
    <r>
      <rPr>
        <rFont val="XO Thames"/>
        <b val="true"/>
        <sz val="12"/>
      </rPr>
      <t>Для А(Лист 3)</t>
    </r>
  </si>
  <si>
    <r>
      <rPr>
        <rFont val="XO Thames"/>
        <b val="true"/>
        <sz val="12"/>
      </rPr>
      <t>Для В(Лист 3)</t>
    </r>
  </si>
  <si>
    <r>
      <rPr>
        <rFont val="XO Thames"/>
        <b val="true"/>
        <sz val="12"/>
      </rPr>
      <t>Для С(Лист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</si>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</sst>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619874" y="17144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809310805134601"/>
    <col bestFit="true" customWidth="true" max="16384" min="2" outlineLevel="0" style="0" width="10.788470377394527"/>
  </cols>
  <sheetData>
    <row customHeight="true" ht="17.249998092651367"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POWER(2, A2+1)-1</f>
        <v>1</v>
      </c>
      <c r="C2" s="0" t="n">
        <f aca="false" ca="false" dt2D="false" dtr="false" t="normal">(POWER(3, A2+1)-1)/2</f>
        <v>1</v>
      </c>
    </row>
    <row outlineLevel="0" r="3">
      <c r="A3" s="0" t="n">
        <v>1</v>
      </c>
      <c r="B3" s="0" t="n">
        <f aca="false" ca="false" dt2D="false" dtr="false" t="normal">POWER(2, A3+1)-1</f>
        <v>3</v>
      </c>
      <c r="C3" s="0" t="n">
        <f aca="false" ca="false" dt2D="false" dtr="false" t="normal">(POWER(3, A3+1)-1)/2</f>
        <v>4</v>
      </c>
    </row>
    <row outlineLevel="0" r="4">
      <c r="A4" s="0" t="n">
        <v>2</v>
      </c>
      <c r="B4" s="0" t="n">
        <f aca="false" ca="false" dt2D="false" dtr="false" t="normal">POWER(2, A4+1)-1</f>
        <v>7</v>
      </c>
      <c r="C4" s="0" t="n">
        <f aca="false" ca="false" dt2D="false" dtr="false" t="normal">(POWER(3, A4+1)-1)/2</f>
        <v>13</v>
      </c>
    </row>
    <row outlineLevel="0" r="5">
      <c r="A5" s="0" t="n">
        <v>3</v>
      </c>
      <c r="B5" s="0" t="n">
        <f aca="false" ca="false" dt2D="false" dtr="false" t="normal">POWER(2, A5+1)-1</f>
        <v>15</v>
      </c>
      <c r="C5" s="0" t="n">
        <f aca="false" ca="false" dt2D="false" dtr="false" t="normal">(POWER(3, A5+1)-1)/2</f>
        <v>40</v>
      </c>
    </row>
    <row outlineLevel="0" r="6">
      <c r="A6" s="0" t="n">
        <v>4</v>
      </c>
      <c r="B6" s="0" t="n">
        <f aca="false" ca="false" dt2D="false" dtr="false" t="normal">POWER(2, A6+1)-1</f>
        <v>31</v>
      </c>
      <c r="C6" s="0" t="n">
        <f aca="false" ca="false" dt2D="false" dtr="false" t="normal">(POWER(3, A6+1)-1)/2</f>
        <v>121</v>
      </c>
    </row>
    <row outlineLevel="0" r="7">
      <c r="A7" s="0" t="n">
        <v>5</v>
      </c>
      <c r="B7" s="0" t="n">
        <f aca="false" ca="false" dt2D="false" dtr="false" t="normal">POWER(2, A7+1)-1</f>
        <v>63</v>
      </c>
      <c r="C7" s="0" t="n">
        <f aca="false" ca="false" dt2D="false" dtr="false" t="normal">(POWER(3, A7+1)-1)/2</f>
        <v>364</v>
      </c>
    </row>
    <row outlineLevel="0" r="8">
      <c r="A8" s="0" t="n">
        <v>6</v>
      </c>
      <c r="B8" s="0" t="n">
        <f aca="false" ca="false" dt2D="false" dtr="false" t="normal">POWER(2, A8+1)-1</f>
        <v>127</v>
      </c>
      <c r="C8" s="0" t="n">
        <f aca="false" ca="false" dt2D="false" dtr="false" t="normal">(POWER(3, A8+1)-1)/2</f>
        <v>1093</v>
      </c>
    </row>
    <row outlineLevel="0" r="9">
      <c r="A9" s="0" t="n">
        <v>7</v>
      </c>
      <c r="B9" s="0" t="n">
        <f aca="false" ca="false" dt2D="false" dtr="false" t="normal">POWER(2, A9+1)-1</f>
        <v>255</v>
      </c>
      <c r="C9" s="0" t="n">
        <f aca="false" ca="false" dt2D="false" dtr="false" t="normal">(POWER(3, A9+1)-1)/2</f>
        <v>3280</v>
      </c>
    </row>
    <row outlineLevel="0" r="10">
      <c r="A10" s="0" t="n">
        <v>8</v>
      </c>
      <c r="B10" s="0" t="n">
        <f aca="false" ca="false" dt2D="false" dtr="false" t="normal">POWER(2, A10+1)-1</f>
        <v>511</v>
      </c>
      <c r="C10" s="0" t="n">
        <f aca="false" ca="false" dt2D="false" dtr="false" t="normal">(POWER(3, A10+1)-1)/2</f>
        <v>9841</v>
      </c>
    </row>
    <row outlineLevel="0" r="11">
      <c r="A11" s="0" t="n">
        <v>9</v>
      </c>
      <c r="B11" s="0" t="n">
        <f aca="false" ca="false" dt2D="false" dtr="false" t="normal">POWER(2, A11+1)-1</f>
        <v>1023</v>
      </c>
      <c r="C11" s="0" t="n">
        <f aca="false" ca="false" dt2D="false" dtr="false" t="normal">(POWER(3, A11+1)-1)/2</f>
        <v>29524</v>
      </c>
    </row>
    <row outlineLevel="0" r="12">
      <c r="A12" s="0" t="n">
        <v>10</v>
      </c>
      <c r="B12" s="0" t="n">
        <f aca="false" ca="false" dt2D="false" dtr="false" t="normal">POWER(2, A12+1)-1</f>
        <v>2047</v>
      </c>
      <c r="C12" s="0" t="n">
        <f aca="false" ca="false" dt2D="false" dtr="false" t="normal">(POWER(3, A12+1)-1)/2</f>
        <v>88573</v>
      </c>
    </row>
    <row outlineLevel="0" r="13">
      <c r="A13" s="0" t="n">
        <v>11</v>
      </c>
      <c r="B13" s="0" t="n">
        <f aca="false" ca="false" dt2D="false" dtr="false" t="normal">POWER(2, A13+1)-1</f>
        <v>4095</v>
      </c>
      <c r="C13" s="0" t="n">
        <f aca="false" ca="false" dt2D="false" dtr="false" t="normal">(POWER(3, A13+1)-1)/2</f>
        <v>265720</v>
      </c>
    </row>
    <row outlineLevel="0" r="14">
      <c r="A14" s="0" t="n">
        <v>12</v>
      </c>
      <c r="B14" s="0" t="n">
        <f aca="false" ca="false" dt2D="false" dtr="false" t="normal">POWER(2, A14+1)-1</f>
        <v>8191</v>
      </c>
      <c r="C14" s="0" t="n">
        <f aca="false" ca="false" dt2D="false" dtr="false" t="normal">(POWER(3, A14+1)-1)/2</f>
        <v>797161</v>
      </c>
    </row>
    <row outlineLevel="0" r="15">
      <c r="A15" s="0" t="n">
        <v>13</v>
      </c>
      <c r="B15" s="0" t="n">
        <f aca="false" ca="false" dt2D="false" dtr="false" t="normal">POWER(2, A15+1)-1</f>
        <v>16383</v>
      </c>
      <c r="C15" s="0" t="n">
        <f aca="false" ca="false" dt2D="false" dtr="false" t="normal">(POWER(3, A15+1)-1)/2</f>
        <v>2391484</v>
      </c>
    </row>
    <row outlineLevel="0" r="16">
      <c r="A16" s="0" t="n">
        <v>14</v>
      </c>
      <c r="B16" s="0" t="n">
        <f aca="false" ca="false" dt2D="false" dtr="false" t="normal">POWER(2, A16+1)-1</f>
        <v>32767</v>
      </c>
      <c r="C16" s="0" t="n">
        <f aca="false" ca="false" dt2D="false" dtr="false" t="normal">(POWER(3, A16+1)-1)/2</f>
        <v>7174453</v>
      </c>
    </row>
    <row outlineLevel="0" r="17">
      <c r="A17" s="0" t="n">
        <v>15</v>
      </c>
      <c r="B17" s="0" t="n">
        <f aca="false" ca="false" dt2D="false" dtr="false" t="normal">POWER(2, A17+1)-1</f>
        <v>65535</v>
      </c>
      <c r="C17" s="0" t="n">
        <f aca="false" ca="false" dt2D="false" dtr="false" t="normal">(POWER(3, A17+1)-1)/2</f>
        <v>21523360</v>
      </c>
    </row>
    <row outlineLevel="0" r="18">
      <c r="A18" s="0" t="n">
        <v>16</v>
      </c>
      <c r="B18" s="0" t="n">
        <f aca="false" ca="false" dt2D="false" dtr="false" t="normal">POWER(2, A18+1)-1</f>
        <v>131071</v>
      </c>
      <c r="C18" s="0" t="n">
        <f aca="false" ca="false" dt2D="false" dtr="false" t="normal">(POWER(3, A18+1)-1)/2</f>
        <v>64570081</v>
      </c>
    </row>
    <row outlineLevel="0" r="19">
      <c r="A19" s="0" t="n">
        <v>17</v>
      </c>
      <c r="B19" s="0" t="n">
        <f aca="false" ca="false" dt2D="false" dtr="false" t="normal">POWER(2, A19+1)-1</f>
        <v>262143</v>
      </c>
      <c r="C19" s="0" t="n">
        <f aca="false" ca="false" dt2D="false" dtr="false" t="normal">(POWER(3, A19+1)-1)/2</f>
        <v>193710244</v>
      </c>
    </row>
    <row outlineLevel="0" r="20">
      <c r="A20" s="0" t="n">
        <v>18</v>
      </c>
      <c r="B20" s="0" t="n">
        <f aca="false" ca="false" dt2D="false" dtr="false" t="normal">POWER(2, A20+1)-1</f>
        <v>524287</v>
      </c>
      <c r="C20" s="0" t="n">
        <f aca="false" ca="false" dt2D="false" dtr="false" t="normal">(POWER(3, A20+1)-1)/2</f>
        <v>581130733</v>
      </c>
    </row>
    <row outlineLevel="0" r="21">
      <c r="A21" s="0" t="n">
        <v>19</v>
      </c>
      <c r="B21" s="0" t="n">
        <f aca="false" ca="false" dt2D="false" dtr="false" t="normal">POWER(2, A21+1)-1</f>
        <v>1048575</v>
      </c>
      <c r="C21" s="0" t="n">
        <f aca="false" ca="false" dt2D="false" dtr="false" t="normal">(POWER(3, A21+1)-1)/2</f>
        <v>1743392200</v>
      </c>
    </row>
    <row outlineLevel="0" r="22">
      <c r="A22" s="0" t="n">
        <v>20</v>
      </c>
      <c r="B22" s="0" t="n">
        <f aca="false" ca="false" dt2D="false" dtr="false" t="normal">POWER(2, A22+1)-1</f>
        <v>2097151</v>
      </c>
      <c r="C22" s="0" t="n">
        <f aca="false" ca="false" dt2D="false" dtr="false" t="normal">(POWER(3, A22+1)-1)/2</f>
        <v>5230176601</v>
      </c>
    </row>
    <row outlineLevel="0" r="23">
      <c r="A23" s="0" t="n">
        <v>21</v>
      </c>
      <c r="B23" s="0" t="n">
        <f aca="false" ca="false" dt2D="false" dtr="false" t="normal">POWER(2, A23+1)-1</f>
        <v>4194303</v>
      </c>
      <c r="C23" s="0" t="n">
        <f aca="false" ca="false" dt2D="false" dtr="false" t="normal">(POWER(3, A23+1)-1)/2</f>
        <v>15690529804</v>
      </c>
    </row>
    <row outlineLevel="0" r="24">
      <c r="A24" s="0" t="n">
        <v>22</v>
      </c>
      <c r="B24" s="0" t="n">
        <f aca="false" ca="false" dt2D="false" dtr="false" t="normal">POWER(2, A24+1)-1</f>
        <v>8388607</v>
      </c>
      <c r="C24" s="0" t="n">
        <f aca="false" ca="false" dt2D="false" dtr="false" t="normal">(POWER(3, A24+1)-1)/2</f>
        <v>47071589413</v>
      </c>
    </row>
    <row outlineLevel="0" r="25">
      <c r="A25" s="0" t="n">
        <v>23</v>
      </c>
      <c r="B25" s="0" t="n">
        <f aca="false" ca="false" dt2D="false" dtr="false" t="normal">POWER(2, A25+1)-1</f>
        <v>16777215</v>
      </c>
      <c r="C25" s="0" t="n">
        <f aca="false" ca="false" dt2D="false" dtr="false" t="normal">(POWER(3, A25+1)-1)/2</f>
        <v>141214768240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(POWER(3, A2+1)-1)/2</f>
        <v>1</v>
      </c>
    </row>
    <row outlineLevel="0" r="3">
      <c r="A3" s="0" t="n">
        <v>1</v>
      </c>
      <c r="B3" s="0" t="n">
        <f aca="false" ca="false" dt2D="false" dtr="false" t="normal">(POWER(3, A3+1)-1)/2</f>
        <v>4</v>
      </c>
    </row>
    <row outlineLevel="0" r="4">
      <c r="A4" s="0" t="n">
        <v>2</v>
      </c>
      <c r="B4" s="0" t="n">
        <f aca="false" ca="false" dt2D="false" dtr="false" t="normal">(POWER(3, A4+1)-1)/2</f>
        <v>13</v>
      </c>
    </row>
    <row outlineLevel="0" r="5">
      <c r="A5" s="0" t="n">
        <v>3</v>
      </c>
      <c r="B5" s="0" t="n">
        <f aca="false" ca="false" dt2D="false" dtr="false" t="normal">(POWER(3, A5+1)-1)/2</f>
        <v>40</v>
      </c>
    </row>
    <row outlineLevel="0" r="6">
      <c r="A6" s="0" t="n">
        <v>4</v>
      </c>
      <c r="B6" s="0" t="n">
        <f aca="false" ca="false" dt2D="false" dtr="false" t="normal">(POWER(3, A6+1)-1)/2</f>
        <v>121</v>
      </c>
    </row>
    <row outlineLevel="0" r="7">
      <c r="A7" s="0" t="n">
        <v>5</v>
      </c>
      <c r="B7" s="0" t="n">
        <f aca="false" ca="false" dt2D="false" dtr="false" t="normal">(POWER(3, A7+1)-1)/2</f>
        <v>364</v>
      </c>
    </row>
    <row outlineLevel="0" r="8">
      <c r="A8" s="0" t="n">
        <v>6</v>
      </c>
      <c r="B8" s="0" t="n">
        <f aca="false" ca="false" dt2D="false" dtr="false" t="normal">(POWER(3, A8+1)-1)/2</f>
        <v>1093</v>
      </c>
    </row>
    <row outlineLevel="0" r="9">
      <c r="A9" s="0" t="n">
        <v>7</v>
      </c>
      <c r="B9" s="0" t="n">
        <f aca="false" ca="false" dt2D="false" dtr="false" t="normal">(POWER(3, A9+1)-1)/2</f>
        <v>3280</v>
      </c>
    </row>
    <row outlineLevel="0" r="10">
      <c r="A10" s="0" t="n">
        <v>8</v>
      </c>
      <c r="B10" s="0" t="n">
        <f aca="false" ca="false" dt2D="false" dtr="false" t="normal">(POWER(3, A10+1)-1)/2</f>
        <v>9841</v>
      </c>
    </row>
    <row outlineLevel="0" r="11">
      <c r="A11" s="0" t="n">
        <v>9</v>
      </c>
      <c r="B11" s="0" t="n">
        <f aca="false" ca="false" dt2D="false" dtr="false" t="normal">(POWER(3, A11+1)-1)/2</f>
        <v>29524</v>
      </c>
    </row>
    <row outlineLevel="0" r="12">
      <c r="A12" s="0" t="n">
        <v>10</v>
      </c>
      <c r="B12" s="0" t="n">
        <f aca="false" ca="false" dt2D="false" dtr="false" t="normal">(POWER(3, A12+1)-1)/2</f>
        <v>88573</v>
      </c>
    </row>
    <row outlineLevel="0" r="13">
      <c r="A13" s="0" t="n">
        <v>11</v>
      </c>
      <c r="B13" s="0" t="n">
        <f aca="false" ca="false" dt2D="false" dtr="false" t="normal">(POWER(3, A13+1)-1)/2</f>
        <v>265720</v>
      </c>
    </row>
    <row outlineLevel="0" r="14">
      <c r="A14" s="0" t="n">
        <v>12</v>
      </c>
      <c r="B14" s="0" t="n">
        <f aca="false" ca="false" dt2D="false" dtr="false" t="normal">(POWER(3, A14+1)-1)/2</f>
        <v>797161</v>
      </c>
    </row>
    <row outlineLevel="0" r="15">
      <c r="A15" s="0" t="n">
        <v>13</v>
      </c>
      <c r="B15" s="0" t="n">
        <f aca="false" ca="false" dt2D="false" dtr="false" t="normal">(POWER(3, A15+1)-1)/2</f>
        <v>2391484</v>
      </c>
    </row>
    <row outlineLevel="0" r="16">
      <c r="A16" s="0" t="n">
        <v>14</v>
      </c>
      <c r="B16" s="0" t="n">
        <f aca="false" ca="false" dt2D="false" dtr="false" t="normal">(POWER(3, A16+1)-1)/2</f>
        <v>7174453</v>
      </c>
    </row>
    <row outlineLevel="0" r="17">
      <c r="A17" s="0" t="n">
        <v>15</v>
      </c>
      <c r="B17" s="0" t="n">
        <f aca="false" ca="false" dt2D="false" dtr="false" t="normal">(POWER(3, A17+1)-1)/2</f>
        <v>21523360</v>
      </c>
    </row>
    <row outlineLevel="0" r="18">
      <c r="A18" s="0" t="n">
        <v>16</v>
      </c>
      <c r="B18" s="0" t="n">
        <f aca="false" ca="false" dt2D="false" dtr="false" t="normal">(POWER(3, A18+1)-1)/2</f>
        <v>64570081</v>
      </c>
    </row>
    <row outlineLevel="0" r="19">
      <c r="A19" s="0" t="n">
        <v>17</v>
      </c>
      <c r="B19" s="0" t="n">
        <f aca="false" ca="false" dt2D="false" dtr="false" t="normal">(POWER(3, A19+1)-1)/2</f>
        <v>193710244</v>
      </c>
    </row>
    <row outlineLevel="0" r="20">
      <c r="A20" s="0" t="n">
        <v>18</v>
      </c>
      <c r="B20" s="0" t="n">
        <f aca="false" ca="false" dt2D="false" dtr="false" t="normal">(POWER(3, A20+1)-1)/2</f>
        <v>581130733</v>
      </c>
    </row>
    <row outlineLevel="0" r="21">
      <c r="A21" s="0" t="n">
        <v>19</v>
      </c>
      <c r="B21" s="0" t="n">
        <f aca="false" ca="false" dt2D="false" dtr="false" t="normal">(POWER(3, A21+1)-1)/2</f>
        <v>1743392200</v>
      </c>
    </row>
    <row outlineLevel="0" r="22">
      <c r="A22" s="0" t="n">
        <v>20</v>
      </c>
      <c r="B22" s="0" t="n">
        <f aca="false" ca="false" dt2D="false" dtr="false" t="normal">(POWER(3, A22+1)-1)/2</f>
        <v>5230176601</v>
      </c>
    </row>
    <row outlineLevel="0" r="23">
      <c r="A23" s="0" t="n">
        <v>21</v>
      </c>
      <c r="B23" s="0" t="n">
        <f aca="false" ca="false" dt2D="false" dtr="false" t="normal">(POWER(3, A23+1)-1)/2</f>
        <v>15690529804</v>
      </c>
    </row>
    <row outlineLevel="0" r="24">
      <c r="A24" s="0" t="n">
        <v>22</v>
      </c>
      <c r="B24" s="0" t="n">
        <f aca="false" ca="false" dt2D="false" dtr="false" t="normal">(POWER(3, A24+1)-1)/2</f>
        <v>47071589413</v>
      </c>
    </row>
    <row outlineLevel="0" r="25">
      <c r="A25" s="0" t="n">
        <v>23</v>
      </c>
      <c r="B25" s="0" t="n">
        <f aca="false" ca="false" dt2D="false" dtr="false" t="normal">(POWER(3, 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  <col customWidth="true" max="2" min="2" outlineLevel="0" width="12.10642785815145"/>
    <col customWidth="true" max="3" min="3" outlineLevel="0" width="11.840355167781556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VLOOKUP(A2, 'Лист1'!A1:B25, 1, )</f>
        <v>0</v>
      </c>
      <c r="C2" s="0" t="n">
        <f aca="false" ca="false" dt2D="false" dtr="false" t="normal">VLOOKUP(A2, 'Лист1'!A1:C25, 3, 0)</f>
        <v>1</v>
      </c>
    </row>
    <row outlineLevel="0" r="3">
      <c r="A3" s="0" t="n">
        <v>1</v>
      </c>
      <c r="B3" s="0" t="n">
        <f aca="false" ca="false" dt2D="false" dtr="false" t="normal">VLOOKUP(A3, 'Лист1'!A2:B26, 1, )</f>
        <v>1</v>
      </c>
      <c r="C3" s="0" t="n">
        <f aca="false" ca="false" dt2D="false" dtr="false" t="normal">VLOOKUP(A3, 'Лист1'!A2:C26, 3, 0)</f>
        <v>4</v>
      </c>
    </row>
    <row outlineLevel="0" r="4">
      <c r="A4" s="0" t="n">
        <v>2</v>
      </c>
      <c r="B4" s="0" t="n">
        <f aca="false" ca="false" dt2D="false" dtr="false" t="normal">VLOOKUP(A4, 'Лист1'!A3:B27, 1, )</f>
        <v>2</v>
      </c>
      <c r="C4" s="0" t="n">
        <f aca="false" ca="false" dt2D="false" dtr="false" t="normal">VLOOKUP(A4, 'Лист1'!A3:C27, 3, 0)</f>
        <v>13</v>
      </c>
    </row>
    <row outlineLevel="0" r="5">
      <c r="A5" s="0" t="n">
        <v>3</v>
      </c>
      <c r="B5" s="0" t="n">
        <f aca="false" ca="false" dt2D="false" dtr="false" t="normal">VLOOKUP(A5, 'Лист1'!A4:B28, 1, )</f>
        <v>3</v>
      </c>
      <c r="C5" s="0" t="n">
        <f aca="false" ca="false" dt2D="false" dtr="false" t="normal">VLOOKUP(A5, 'Лист1'!A4:C28, 3, 0)</f>
        <v>40</v>
      </c>
    </row>
    <row outlineLevel="0" r="6">
      <c r="A6" s="0" t="n">
        <v>4</v>
      </c>
      <c r="B6" s="0" t="n">
        <f aca="false" ca="false" dt2D="false" dtr="false" t="normal">VLOOKUP(A6, 'Лист1'!A5:B29, 1, )</f>
        <v>4</v>
      </c>
      <c r="C6" s="0" t="n">
        <f aca="false" ca="false" dt2D="false" dtr="false" t="normal">VLOOKUP(A6, 'Лист1'!A5:C29, 3, 0)</f>
        <v>121</v>
      </c>
    </row>
    <row outlineLevel="0" r="7">
      <c r="A7" s="0" t="n">
        <v>5</v>
      </c>
      <c r="B7" s="0" t="n">
        <f aca="false" ca="false" dt2D="false" dtr="false" t="normal">VLOOKUP(A7, 'Лист1'!A6:B30, 1, )</f>
        <v>5</v>
      </c>
      <c r="C7" s="0" t="n">
        <f aca="false" ca="false" dt2D="false" dtr="false" t="normal">VLOOKUP(A7, 'Лист1'!A6:C30, 3, 0)</f>
        <v>364</v>
      </c>
    </row>
    <row outlineLevel="0" r="8">
      <c r="A8" s="0" t="n">
        <v>6</v>
      </c>
      <c r="B8" s="0" t="n">
        <f aca="false" ca="false" dt2D="false" dtr="false" t="normal">VLOOKUP(A8, 'Лист1'!A7:B31, 1, )</f>
        <v>6</v>
      </c>
      <c r="C8" s="0" t="n">
        <f aca="false" ca="false" dt2D="false" dtr="false" t="normal">VLOOKUP(A8, 'Лист1'!A7:C31, 3, 0)</f>
        <v>1093</v>
      </c>
    </row>
    <row outlineLevel="0" r="9">
      <c r="A9" s="0" t="n">
        <v>7</v>
      </c>
      <c r="B9" s="0" t="n">
        <f aca="false" ca="false" dt2D="false" dtr="false" t="normal">VLOOKUP(A9, 'Лист1'!A8:B32, 1, )</f>
        <v>7</v>
      </c>
      <c r="C9" s="0" t="n">
        <f aca="false" ca="false" dt2D="false" dtr="false" t="normal">VLOOKUP(A9, 'Лист1'!A8:C32, 3, 0)</f>
        <v>3280</v>
      </c>
    </row>
    <row outlineLevel="0" r="10">
      <c r="A10" s="0" t="n">
        <v>8</v>
      </c>
      <c r="B10" s="0" t="n">
        <f aca="false" ca="false" dt2D="false" dtr="false" t="normal">VLOOKUP(A10, 'Лист1'!A9:B33, 1, )</f>
        <v>8</v>
      </c>
      <c r="C10" s="0" t="n">
        <f aca="false" ca="false" dt2D="false" dtr="false" t="normal">VLOOKUP(A10, 'Лист1'!A9:C33, 3, 0)</f>
        <v>9841</v>
      </c>
    </row>
    <row outlineLevel="0" r="11">
      <c r="A11" s="0" t="n">
        <v>9</v>
      </c>
      <c r="B11" s="0" t="n">
        <f aca="false" ca="false" dt2D="false" dtr="false" t="normal">VLOOKUP(A11, 'Лист1'!A10:B34, 1, )</f>
        <v>9</v>
      </c>
      <c r="C11" s="0" t="n">
        <f aca="false" ca="false" dt2D="false" dtr="false" t="normal">VLOOKUP(A11, 'Лист1'!A10:C34, 3, 0)</f>
        <v>29524</v>
      </c>
    </row>
    <row outlineLevel="0" r="12">
      <c r="A12" s="0" t="n">
        <v>10</v>
      </c>
      <c r="B12" s="0" t="n">
        <f aca="false" ca="false" dt2D="false" dtr="false" t="normal">VLOOKUP(A12, 'Лист1'!A11:B35, 1, )</f>
        <v>10</v>
      </c>
      <c r="C12" s="0" t="n">
        <f aca="false" ca="false" dt2D="false" dtr="false" t="normal">VLOOKUP(A12, 'Лист1'!A11:C35, 3, 0)</f>
        <v>88573</v>
      </c>
    </row>
    <row outlineLevel="0" r="13">
      <c r="A13" s="0" t="n">
        <v>11</v>
      </c>
      <c r="B13" s="0" t="n">
        <f aca="false" ca="false" dt2D="false" dtr="false" t="normal">VLOOKUP(A13, 'Лист1'!A12:B36, 1, )</f>
        <v>11</v>
      </c>
      <c r="C13" s="0" t="n">
        <f aca="false" ca="false" dt2D="false" dtr="false" t="normal">VLOOKUP(A13, 'Лист1'!A12:C36, 3, 0)</f>
        <v>265720</v>
      </c>
    </row>
    <row outlineLevel="0" r="14">
      <c r="A14" s="0" t="n">
        <v>12</v>
      </c>
      <c r="B14" s="0" t="n">
        <f aca="false" ca="false" dt2D="false" dtr="false" t="normal">VLOOKUP(A14, 'Лист1'!A13:B37, 1, )</f>
        <v>12</v>
      </c>
      <c r="C14" s="0" t="n">
        <f aca="false" ca="false" dt2D="false" dtr="false" t="normal">VLOOKUP(A14, 'Лист1'!A13:C37, 3, 0)</f>
        <v>797161</v>
      </c>
    </row>
    <row outlineLevel="0" r="15">
      <c r="A15" s="0" t="n">
        <v>13</v>
      </c>
      <c r="B15" s="0" t="n">
        <f aca="false" ca="false" dt2D="false" dtr="false" t="normal">VLOOKUP(A15, 'Лист1'!A14:B38, 1, )</f>
        <v>13</v>
      </c>
      <c r="C15" s="0" t="n">
        <f aca="false" ca="false" dt2D="false" dtr="false" t="normal">VLOOKUP(A15, 'Лист1'!A14:C38, 3, 0)</f>
        <v>2391484</v>
      </c>
    </row>
    <row outlineLevel="0" r="16">
      <c r="A16" s="0" t="n">
        <v>14</v>
      </c>
      <c r="B16" s="0" t="n">
        <f aca="false" ca="false" dt2D="false" dtr="false" t="normal">VLOOKUP(A16, 'Лист1'!A15:B39, 1, )</f>
        <v>14</v>
      </c>
      <c r="C16" s="0" t="n">
        <f aca="false" ca="false" dt2D="false" dtr="false" t="normal">VLOOKUP(A16, 'Лист1'!A15:C39, 3, 0)</f>
        <v>7174453</v>
      </c>
    </row>
    <row outlineLevel="0" r="17">
      <c r="A17" s="0" t="n">
        <v>15</v>
      </c>
      <c r="B17" s="0" t="n">
        <f aca="false" ca="false" dt2D="false" dtr="false" t="normal">VLOOKUP(A17, 'Лист1'!A16:B40, 1, )</f>
        <v>15</v>
      </c>
      <c r="C17" s="0" t="n">
        <f aca="false" ca="false" dt2D="false" dtr="false" t="normal">VLOOKUP(A17, 'Лист1'!A16:C40, 3, 0)</f>
        <v>21523360</v>
      </c>
    </row>
    <row outlineLevel="0" r="18">
      <c r="A18" s="0" t="n">
        <v>16</v>
      </c>
      <c r="B18" s="0" t="n">
        <f aca="false" ca="false" dt2D="false" dtr="false" t="normal">VLOOKUP(A18, 'Лист1'!A17:B41, 1, )</f>
        <v>16</v>
      </c>
      <c r="C18" s="0" t="n">
        <f aca="false" ca="false" dt2D="false" dtr="false" t="normal">VLOOKUP(A18, 'Лист1'!A17:C41, 3, 0)</f>
        <v>64570081</v>
      </c>
    </row>
    <row outlineLevel="0" r="19">
      <c r="A19" s="0" t="n">
        <v>17</v>
      </c>
      <c r="B19" s="0" t="n">
        <f aca="false" ca="false" dt2D="false" dtr="false" t="normal">VLOOKUP(A19, 'Лист1'!A18:B42, 1, )</f>
        <v>17</v>
      </c>
      <c r="C19" s="0" t="n">
        <f aca="false" ca="false" dt2D="false" dtr="false" t="normal">VLOOKUP(A19, 'Лист1'!A18:C42, 3, 0)</f>
        <v>193710244</v>
      </c>
    </row>
    <row outlineLevel="0" r="20">
      <c r="A20" s="0" t="n">
        <v>18</v>
      </c>
      <c r="B20" s="0" t="n">
        <f aca="false" ca="false" dt2D="false" dtr="false" t="normal">VLOOKUP(A20, 'Лист1'!A19:B43, 1, )</f>
        <v>18</v>
      </c>
      <c r="C20" s="0" t="n">
        <f aca="false" ca="false" dt2D="false" dtr="false" t="normal">VLOOKUP(A20, 'Лист1'!A19:C43, 3, 0)</f>
        <v>581130733</v>
      </c>
    </row>
    <row outlineLevel="0" r="21">
      <c r="A21" s="0" t="n">
        <v>19</v>
      </c>
      <c r="B21" s="0" t="n">
        <f aca="false" ca="false" dt2D="false" dtr="false" t="normal">VLOOKUP(A21, 'Лист1'!A20:B44, 1, )</f>
        <v>19</v>
      </c>
      <c r="C21" s="0" t="n">
        <f aca="false" ca="false" dt2D="false" dtr="false" t="normal">VLOOKUP(A21, 'Лист1'!A20:C44, 3, 0)</f>
        <v>1743392200</v>
      </c>
    </row>
    <row outlineLevel="0" r="22">
      <c r="A22" s="0" t="n">
        <v>20</v>
      </c>
      <c r="B22" s="0" t="n">
        <f aca="false" ca="false" dt2D="false" dtr="false" t="normal">VLOOKUP(A22, 'Лист1'!A21:B45, 1, )</f>
        <v>20</v>
      </c>
      <c r="C22" s="0" t="n">
        <f aca="false" ca="false" dt2D="false" dtr="false" t="normal">VLOOKUP(A22, 'Лист1'!A21:C45, 3, 0)</f>
        <v>5230176601</v>
      </c>
    </row>
    <row outlineLevel="0" r="23">
      <c r="A23" s="0" t="n">
        <v>21</v>
      </c>
      <c r="B23" s="0" t="n">
        <f aca="false" ca="false" dt2D="false" dtr="false" t="normal">VLOOKUP(A23, 'Лист1'!A22:B46, 1, )</f>
        <v>21</v>
      </c>
      <c r="C23" s="0" t="n">
        <f aca="false" ca="false" dt2D="false" dtr="false" t="normal">VLOOKUP(A23, 'Лист1'!A22:C46, 3, 0)</f>
        <v>15690529804</v>
      </c>
    </row>
    <row outlineLevel="0" r="24">
      <c r="A24" s="0" t="n">
        <v>22</v>
      </c>
      <c r="B24" s="0" t="n">
        <f aca="false" ca="false" dt2D="false" dtr="false" t="normal">VLOOKUP(A24, 'Лист1'!A23:B47, 1, )</f>
        <v>22</v>
      </c>
      <c r="C24" s="0" t="n">
        <f aca="false" ca="false" dt2D="false" dtr="false" t="normal">VLOOKUP(A24, 'Лист1'!A23:C47, 3, 0)</f>
        <v>47071589413</v>
      </c>
    </row>
    <row outlineLevel="0" r="25">
      <c r="A25" s="0" t="n">
        <v>23</v>
      </c>
      <c r="B25" s="0" t="n">
        <f aca="false" ca="false" dt2D="false" dtr="false" t="normal">VLOOKUP(A25, 'Лист1'!A24:B48, 1, )</f>
        <v>23</v>
      </c>
      <c r="C25" s="0" t="n">
        <f aca="false" ca="false" dt2D="false" dtr="false" t="normal">VLOOKUP(A25, 'Лист1'!A24:C48, 3,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350330643760213"/>
    <col customWidth="true" max="2" min="2" outlineLevel="0" width="14.634144129925041"/>
    <col customWidth="true" max="3" min="3" outlineLevel="0" width="14.501109138069546"/>
    <col customWidth="true" max="4" min="4" outlineLevel="0" width="14.368071439555147"/>
  </cols>
  <sheetData>
    <row outlineLevel="0" r="1">
      <c r="A1" s="1" t="s">
        <v>4</v>
      </c>
      <c r="B1" s="1" t="s">
        <v>5</v>
      </c>
      <c r="C1" s="1" t="s">
        <v>6</v>
      </c>
      <c r="D1" s="1" t="s">
        <v>7</v>
      </c>
    </row>
    <row outlineLevel="0" r="2">
      <c r="A2" s="0" t="s">
        <v>8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11.5</v>
      </c>
      <c r="D2" s="0" t="n">
        <f aca="false" ca="false" dt2D="false" dtr="false" t="normal">AVERAGE('Лист3'!C2:C25)</f>
        <v>8825923014.5</v>
      </c>
    </row>
    <row outlineLevel="0" r="3">
      <c r="A3" s="0" t="s">
        <v>9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23</v>
      </c>
      <c r="D3" s="0" t="n">
        <f aca="false" ca="false" dt2D="false" dtr="false" t="normal">MAX('Лист3'!C2:C25)</f>
        <v>141214768240</v>
      </c>
    </row>
    <row outlineLevel="0" r="4">
      <c r="A4" s="0" t="s">
        <v>10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0</v>
      </c>
      <c r="D4" s="0" t="n">
        <f aca="false" ca="false" dt2D="false" dtr="false" t="normal">MIN('Лист3'!C2:C25)</f>
        <v>1</v>
      </c>
    </row>
    <row outlineLevel="0" r="5">
      <c r="A5" s="0" t="s">
        <v>11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11.5</v>
      </c>
      <c r="D5" s="0" t="n">
        <f aca="false" ca="false" dt2D="false" dtr="false" t="normal">MEDIAN('Лист3'!C2:C25)</f>
        <v>531440.5</v>
      </c>
    </row>
    <row outlineLevel="0" r="6">
      <c r="A6" s="0" t="s">
        <v>12</v>
      </c>
      <c r="B6" s="0" t="e">
        <f aca="false" ca="false" dt2D="false" dtr="false" t="normal">_XLFN.MODE.SNGL('Лист3'!A2:A25)</f>
        <v>#N/A</v>
      </c>
      <c r="C6" s="0" t="e">
        <f aca="false" ca="false" dt2D="false" dtr="false" t="normal">_XLFN.MODE.SNGL('Лист3'!B2:B25)</f>
        <v>#N/A</v>
      </c>
      <c r="D6" s="0" t="e">
        <f aca="false" ca="false" dt2D="false" dtr="false" t="normal">_XLFN.MODE.SNGL('Лист3'!C2:C25)</f>
        <v>#N/A</v>
      </c>
    </row>
    <row outlineLevel="0" r="7">
      <c r="A7" s="0" t="s">
        <v>13</v>
      </c>
      <c r="B7" s="0" t="n">
        <f aca="false" ca="false" dt2D="false" dtr="false" t="normal">_XLFN.VAR.S('Лист3'!A2:A25)</f>
        <v>50</v>
      </c>
      <c r="C7" s="1" t="n">
        <f aca="false" ca="false" dt2D="false" dtr="false" t="normal">_XLFN.VAR.S('Лист3'!B2:B25)</f>
        <v>50</v>
      </c>
      <c r="D7" s="0" t="n">
        <f aca="false" ca="false" dt2D="false" dtr="false" t="normal">_XLFN.VAR.S('Лист3'!C2:C25)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14</v>
      </c>
      <c r="B2" s="0" t="n">
        <v>1510000</v>
      </c>
      <c r="C2" s="0" t="n">
        <v>22366476</v>
      </c>
      <c r="D2" s="0" t="n">
        <v>1934765</v>
      </c>
      <c r="E2" s="0" t="n">
        <v>4543534</v>
      </c>
      <c r="F2" s="0" t="n">
        <v>2348887</v>
      </c>
      <c r="G2" s="0" t="n">
        <v>11700004</v>
      </c>
      <c r="H2" s="0" t="n">
        <v>2344598</v>
      </c>
    </row>
    <row outlineLevel="0" r="3">
      <c r="A3" s="0" t="s">
        <v>15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16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17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2026-05-04T11:05:10Z</dcterms:created>
  <dcterms:modified xsi:type="dcterms:W3CDTF">2026-05-04T11:05:10Z</dcterms:modified>
</cp:coreProperties>
</file>